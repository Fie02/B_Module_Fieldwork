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fionn\OneDrive\Documents\tudelft\MSc\Q4\Fieldwork\B_Module_Fieldwork\"/>
    </mc:Choice>
  </mc:AlternateContent>
  <xr:revisionPtr revIDLastSave="0" documentId="13_ncr:1_{517715CF-77A8-4938-BBCD-7494888D1B1B}" xr6:coauthVersionLast="47" xr6:coauthVersionMax="47" xr10:uidLastSave="{00000000-0000-0000-0000-000000000000}"/>
  <bookViews>
    <workbookView xWindow="11424" yWindow="0" windowWidth="11712" windowHeight="12336" firstSheet="2" activeTab="5" xr2:uid="{00000000-000D-0000-FFFF-FFFF00000000}"/>
  </bookViews>
  <sheets>
    <sheet name="Sample_overview" sheetId="1" r:id="rId1"/>
    <sheet name="Visualisation_tests" sheetId="3" r:id="rId2"/>
    <sheet name="LG_lake" sheetId="4" r:id="rId3"/>
    <sheet name="LG_spring" sheetId="5" r:id="rId4"/>
    <sheet name="S3" sheetId="6" r:id="rId5"/>
    <sheet name="S4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7" l="1"/>
  <c r="H11" i="6"/>
  <c r="H11" i="4"/>
  <c r="H11" i="5"/>
  <c r="G2" i="6"/>
  <c r="E10" i="7"/>
  <c r="F10" i="7" s="1"/>
  <c r="D10" i="7"/>
  <c r="E9" i="7"/>
  <c r="F9" i="7" s="1"/>
  <c r="D9" i="7"/>
  <c r="E8" i="7"/>
  <c r="F8" i="7" s="1"/>
  <c r="D8" i="7"/>
  <c r="E7" i="7"/>
  <c r="F7" i="7" s="1"/>
  <c r="D7" i="7"/>
  <c r="E6" i="7"/>
  <c r="F6" i="7" s="1"/>
  <c r="D6" i="7"/>
  <c r="E5" i="7"/>
  <c r="F5" i="7" s="1"/>
  <c r="G5" i="7" s="1"/>
  <c r="D5" i="7"/>
  <c r="E4" i="7"/>
  <c r="F4" i="7" s="1"/>
  <c r="D4" i="7"/>
  <c r="E3" i="7"/>
  <c r="F3" i="7" s="1"/>
  <c r="D3" i="7"/>
  <c r="E2" i="7"/>
  <c r="D2" i="7"/>
  <c r="F2" i="7" s="1"/>
  <c r="G2" i="7" s="1"/>
  <c r="F10" i="6"/>
  <c r="E10" i="6"/>
  <c r="D10" i="6"/>
  <c r="E9" i="6"/>
  <c r="D9" i="6"/>
  <c r="F9" i="6" s="1"/>
  <c r="E8" i="6"/>
  <c r="F8" i="6" s="1"/>
  <c r="D8" i="6"/>
  <c r="E7" i="6"/>
  <c r="F7" i="6" s="1"/>
  <c r="G8" i="6" s="1"/>
  <c r="D7" i="6"/>
  <c r="E6" i="6"/>
  <c r="F6" i="6" s="1"/>
  <c r="D6" i="6"/>
  <c r="F5" i="6"/>
  <c r="E5" i="6"/>
  <c r="D5" i="6"/>
  <c r="E4" i="6"/>
  <c r="F4" i="6" s="1"/>
  <c r="G5" i="6" s="1"/>
  <c r="D4" i="6"/>
  <c r="E3" i="6"/>
  <c r="F3" i="6" s="1"/>
  <c r="D3" i="6"/>
  <c r="E2" i="6"/>
  <c r="F2" i="6" s="1"/>
  <c r="D2" i="6"/>
  <c r="E10" i="5"/>
  <c r="F10" i="5" s="1"/>
  <c r="D10" i="5"/>
  <c r="E9" i="5"/>
  <c r="F9" i="5" s="1"/>
  <c r="D9" i="5"/>
  <c r="E8" i="5"/>
  <c r="F8" i="5" s="1"/>
  <c r="G8" i="5" s="1"/>
  <c r="D8" i="5"/>
  <c r="F7" i="5"/>
  <c r="E7" i="5"/>
  <c r="D7" i="5"/>
  <c r="E6" i="5"/>
  <c r="F6" i="5" s="1"/>
  <c r="G5" i="5" s="1"/>
  <c r="D6" i="5"/>
  <c r="F5" i="5"/>
  <c r="E5" i="5"/>
  <c r="D5" i="5"/>
  <c r="E4" i="5"/>
  <c r="F4" i="5" s="1"/>
  <c r="D4" i="5"/>
  <c r="E3" i="5"/>
  <c r="F3" i="5" s="1"/>
  <c r="D3" i="5"/>
  <c r="E2" i="5"/>
  <c r="F2" i="5" s="1"/>
  <c r="G2" i="5" s="1"/>
  <c r="D2" i="5"/>
  <c r="E2" i="4"/>
  <c r="E3" i="4"/>
  <c r="E4" i="4"/>
  <c r="E5" i="4"/>
  <c r="E6" i="4"/>
  <c r="E7" i="4"/>
  <c r="E8" i="4"/>
  <c r="E9" i="4"/>
  <c r="E10" i="4"/>
  <c r="D2" i="4"/>
  <c r="D3" i="4"/>
  <c r="D4" i="4"/>
  <c r="D5" i="4"/>
  <c r="D6" i="4"/>
  <c r="D7" i="4"/>
  <c r="D8" i="4"/>
  <c r="D9" i="4"/>
  <c r="D10" i="4"/>
  <c r="K6" i="3"/>
  <c r="G8" i="7" l="1"/>
  <c r="F10" i="4"/>
  <c r="F9" i="4"/>
  <c r="F8" i="4"/>
  <c r="G8" i="4" s="1"/>
  <c r="F7" i="4"/>
  <c r="F6" i="4"/>
  <c r="F5" i="4"/>
  <c r="F4" i="4"/>
  <c r="F3" i="4"/>
  <c r="F2" i="4"/>
  <c r="G2" i="4" s="1"/>
  <c r="G5" i="4" l="1"/>
</calcChain>
</file>

<file path=xl/sharedStrings.xml><?xml version="1.0" encoding="utf-8"?>
<sst xmlns="http://schemas.openxmlformats.org/spreadsheetml/2006/main" count="130" uniqueCount="58">
  <si>
    <t>Location</t>
  </si>
  <si>
    <t>Sample ID</t>
  </si>
  <si>
    <t>pH in field strip</t>
  </si>
  <si>
    <t xml:space="preserve">pH in field Probe </t>
  </si>
  <si>
    <t xml:space="preserve">pH in lab strip </t>
  </si>
  <si>
    <t>pH in lab probe/digital</t>
  </si>
  <si>
    <t>LG stream</t>
  </si>
  <si>
    <t>LG lake</t>
  </si>
  <si>
    <t>Train</t>
  </si>
  <si>
    <t xml:space="preserve">RT AMD </t>
  </si>
  <si>
    <t xml:space="preserve">RT ARD </t>
  </si>
  <si>
    <t xml:space="preserve">RT MIX </t>
  </si>
  <si>
    <t>S3 Covica</t>
  </si>
  <si>
    <t>S4 Covica</t>
  </si>
  <si>
    <t>0306_covica_s3_1/2_AMD</t>
  </si>
  <si>
    <t>0106_LG_Spring_2/2_Flow</t>
  </si>
  <si>
    <t>0106_LG_Spring_1/2_flow</t>
  </si>
  <si>
    <t>0106_LG_lake_1/2_flow</t>
  </si>
  <si>
    <t>0106_LG_lake_2/2_flow</t>
  </si>
  <si>
    <t>-</t>
  </si>
  <si>
    <t>0306_AMD_AR_mix_RioTinto_1/2</t>
  </si>
  <si>
    <t>0306_AMD_AR_mix_RioTinto_2/2</t>
  </si>
  <si>
    <t>0306_AMD_(puur)_RioTinto_1/2</t>
  </si>
  <si>
    <t>0306_AMD_(puur)_RioTinto_2/2</t>
  </si>
  <si>
    <t>0306_ARD_RioTintoSource_1/2</t>
  </si>
  <si>
    <t>0306_AMD_Covica_S4_1/2</t>
  </si>
  <si>
    <t>0306_AMD_Covica_S4_2/2</t>
  </si>
  <si>
    <t>Temp (probe) field</t>
  </si>
  <si>
    <t>Temp (probe) lab</t>
  </si>
  <si>
    <t>Notes</t>
  </si>
  <si>
    <t>use for sample ratio optimisation</t>
  </si>
  <si>
    <t>Repeat 1</t>
  </si>
  <si>
    <t>Size 1</t>
  </si>
  <si>
    <t>Size 2</t>
  </si>
  <si>
    <t>Size 3</t>
  </si>
  <si>
    <t>Repeat 2</t>
  </si>
  <si>
    <t>Repeat 3</t>
  </si>
  <si>
    <t>Loc 1</t>
  </si>
  <si>
    <t>Loc 2</t>
  </si>
  <si>
    <t>Loc 3</t>
  </si>
  <si>
    <t>Loc 4</t>
  </si>
  <si>
    <t>LG Lake</t>
  </si>
  <si>
    <t>LG Spring</t>
  </si>
  <si>
    <t>fine_1</t>
  </si>
  <si>
    <t>fine_2</t>
  </si>
  <si>
    <t>fine_3</t>
  </si>
  <si>
    <t>medium_1</t>
  </si>
  <si>
    <t>medium_2</t>
  </si>
  <si>
    <t>medium_3</t>
  </si>
  <si>
    <t>coarse_1</t>
  </si>
  <si>
    <t>coarse_2</t>
  </si>
  <si>
    <t>coarse_3</t>
  </si>
  <si>
    <t>ph_0</t>
  </si>
  <si>
    <t>ph_10</t>
  </si>
  <si>
    <t>h+_0</t>
  </si>
  <si>
    <t>h+_10</t>
  </si>
  <si>
    <t>delta_h+</t>
  </si>
  <si>
    <t>pH_field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</si>
</sst>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1" fillId="0" borderId="0" xfId="0" applyFont="1"/>
    <xf numFmtId="0" fontId="0" fillId="3" borderId="6" xfId="0" applyFill="1" applyBorder="1"/>
    <xf numFmtId="0" fontId="0" fillId="3" borderId="3" xfId="0" applyFill="1" applyBorder="1"/>
    <xf numFmtId="0" fontId="0" fillId="3" borderId="2" xfId="0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3" borderId="3" xfId="0" applyFont="1" applyFill="1" applyBorder="1"/>
    <xf numFmtId="0" fontId="1" fillId="3" borderId="2" xfId="0" applyFont="1" applyFill="1" applyBorder="1"/>
    <xf numFmtId="0" fontId="1" fillId="3" borderId="7" xfId="0" applyFont="1" applyFill="1" applyBorder="1"/>
    <xf numFmtId="0" fontId="1" fillId="3" borderId="5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0" fillId="4" borderId="0" xfId="0" applyFill="1"/>
    <xf numFmtId="0" fontId="0" fillId="4" borderId="0" xfId="0" quotePrefix="1" applyFill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19" xfId="0" applyFill="1" applyBorder="1"/>
    <xf numFmtId="0" fontId="0" fillId="5" borderId="17" xfId="0" applyFill="1" applyBorder="1"/>
    <xf numFmtId="0" fontId="0" fillId="5" borderId="18" xfId="0" applyFill="1" applyBorder="1"/>
    <xf numFmtId="0" fontId="0" fillId="5" borderId="19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0" fillId="6" borderId="21" xfId="0" applyFill="1" applyBorder="1"/>
    <xf numFmtId="0" fontId="0" fillId="6" borderId="22" xfId="0" applyFill="1" applyBorder="1"/>
    <xf numFmtId="0" fontId="0" fillId="4" borderId="20" xfId="0" applyFill="1" applyBorder="1"/>
    <xf numFmtId="0" fontId="0" fillId="4" borderId="21" xfId="0" applyFill="1" applyBorder="1"/>
    <xf numFmtId="0" fontId="0" fillId="4" borderId="22" xfId="0" applyFill="1" applyBorder="1"/>
    <xf numFmtId="0" fontId="0" fillId="6" borderId="23" xfId="0" applyFill="1" applyBorder="1"/>
    <xf numFmtId="0" fontId="0" fillId="6" borderId="24" xfId="0" applyFill="1" applyBorder="1"/>
    <xf numFmtId="0" fontId="0" fillId="6" borderId="25" xfId="0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D25" sqref="D25"/>
    </sheetView>
  </sheetViews>
  <sheetFormatPr defaultRowHeight="14.4" x14ac:dyDescent="0.3"/>
  <cols>
    <col min="2" max="2" width="28.5546875" customWidth="1"/>
    <col min="3" max="3" width="16.5546875" customWidth="1"/>
    <col min="4" max="5" width="23.21875" customWidth="1"/>
    <col min="6" max="7" width="19" customWidth="1"/>
    <col min="8" max="8" width="19.6640625" customWidth="1"/>
    <col min="9" max="9" width="23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4</v>
      </c>
      <c r="G1" s="1" t="s">
        <v>28</v>
      </c>
      <c r="H1" s="1" t="s">
        <v>5</v>
      </c>
      <c r="I1" s="5" t="s">
        <v>29</v>
      </c>
    </row>
    <row r="2" spans="1:9" x14ac:dyDescent="0.3">
      <c r="A2" t="s">
        <v>6</v>
      </c>
      <c r="B2" t="s">
        <v>16</v>
      </c>
      <c r="C2" s="21">
        <v>2</v>
      </c>
      <c r="D2" s="21">
        <v>2.2890000000000001</v>
      </c>
      <c r="E2" s="21">
        <v>23</v>
      </c>
    </row>
    <row r="3" spans="1:9" x14ac:dyDescent="0.3">
      <c r="B3" t="s">
        <v>15</v>
      </c>
      <c r="C3" s="21">
        <v>2</v>
      </c>
      <c r="D3" s="21">
        <v>2.2890000000000001</v>
      </c>
      <c r="E3" s="21">
        <v>23</v>
      </c>
    </row>
    <row r="4" spans="1:9" x14ac:dyDescent="0.3">
      <c r="A4" t="s">
        <v>7</v>
      </c>
      <c r="B4" t="s">
        <v>17</v>
      </c>
      <c r="C4" s="21">
        <v>1</v>
      </c>
      <c r="D4" s="21">
        <v>0.90700000000000003</v>
      </c>
      <c r="E4" s="21">
        <v>24.5</v>
      </c>
    </row>
    <row r="5" spans="1:9" x14ac:dyDescent="0.3">
      <c r="B5" t="s">
        <v>18</v>
      </c>
      <c r="C5" s="21">
        <v>1</v>
      </c>
      <c r="D5" s="21">
        <v>0.90700000000000003</v>
      </c>
      <c r="E5" s="21">
        <v>24.5</v>
      </c>
    </row>
    <row r="6" spans="1:9" x14ac:dyDescent="0.3">
      <c r="A6" s="3" t="s">
        <v>8</v>
      </c>
      <c r="B6" s="4" t="s">
        <v>19</v>
      </c>
      <c r="C6" s="4" t="s">
        <v>19</v>
      </c>
      <c r="D6" s="4" t="s">
        <v>19</v>
      </c>
      <c r="E6" s="4" t="s">
        <v>19</v>
      </c>
      <c r="F6" s="4" t="s">
        <v>19</v>
      </c>
      <c r="G6" s="3" t="s">
        <v>19</v>
      </c>
      <c r="H6" s="4" t="s">
        <v>19</v>
      </c>
      <c r="I6" t="s">
        <v>30</v>
      </c>
    </row>
    <row r="7" spans="1:9" x14ac:dyDescent="0.3">
      <c r="A7" t="s">
        <v>9</v>
      </c>
      <c r="B7" t="s">
        <v>22</v>
      </c>
      <c r="C7" s="21">
        <v>1.5</v>
      </c>
      <c r="D7" s="21">
        <v>1.88</v>
      </c>
      <c r="E7" s="22" t="s">
        <v>19</v>
      </c>
    </row>
    <row r="8" spans="1:9" x14ac:dyDescent="0.3">
      <c r="B8" t="s">
        <v>23</v>
      </c>
      <c r="C8" s="21">
        <v>1.5</v>
      </c>
      <c r="D8" s="21">
        <v>1.88</v>
      </c>
      <c r="E8" s="22" t="s">
        <v>19</v>
      </c>
    </row>
    <row r="9" spans="1:9" x14ac:dyDescent="0.3">
      <c r="A9" t="s">
        <v>10</v>
      </c>
      <c r="B9" t="s">
        <v>24</v>
      </c>
      <c r="C9" s="21">
        <v>5</v>
      </c>
      <c r="D9" s="21">
        <v>5.68</v>
      </c>
      <c r="E9" s="22" t="s">
        <v>19</v>
      </c>
    </row>
    <row r="10" spans="1:9" x14ac:dyDescent="0.3">
      <c r="B10" t="s">
        <v>24</v>
      </c>
      <c r="C10" s="21">
        <v>5</v>
      </c>
      <c r="D10" s="21">
        <v>5.68</v>
      </c>
      <c r="E10" s="22" t="s">
        <v>19</v>
      </c>
    </row>
    <row r="11" spans="1:9" x14ac:dyDescent="0.3">
      <c r="A11" s="3" t="s">
        <v>11</v>
      </c>
      <c r="B11" s="3" t="s">
        <v>20</v>
      </c>
      <c r="C11" s="3">
        <v>1.8</v>
      </c>
      <c r="D11" s="3">
        <v>2.31</v>
      </c>
      <c r="E11" s="4" t="s">
        <v>19</v>
      </c>
      <c r="F11" s="3"/>
      <c r="G11" s="3"/>
      <c r="H11" s="3"/>
      <c r="I11" t="s">
        <v>30</v>
      </c>
    </row>
    <row r="12" spans="1:9" x14ac:dyDescent="0.3">
      <c r="A12" s="3"/>
      <c r="B12" s="3" t="s">
        <v>21</v>
      </c>
      <c r="C12" s="3">
        <v>1.8</v>
      </c>
      <c r="D12" s="3">
        <v>2.31</v>
      </c>
      <c r="E12" s="4" t="s">
        <v>19</v>
      </c>
      <c r="F12" s="3"/>
      <c r="G12" s="3"/>
      <c r="H12" s="3"/>
    </row>
    <row r="13" spans="1:9" x14ac:dyDescent="0.3">
      <c r="A13" t="s">
        <v>12</v>
      </c>
      <c r="B13" t="s">
        <v>14</v>
      </c>
      <c r="C13" s="21">
        <v>1.5</v>
      </c>
      <c r="D13" s="21">
        <v>2.12</v>
      </c>
      <c r="E13" s="22" t="s">
        <v>19</v>
      </c>
    </row>
    <row r="14" spans="1:9" x14ac:dyDescent="0.3">
      <c r="B14" t="s">
        <v>14</v>
      </c>
      <c r="C14" s="21">
        <v>1.5</v>
      </c>
      <c r="D14" s="21">
        <v>2.12</v>
      </c>
      <c r="E14" s="22" t="s">
        <v>19</v>
      </c>
    </row>
    <row r="15" spans="1:9" x14ac:dyDescent="0.3">
      <c r="A15" t="s">
        <v>13</v>
      </c>
      <c r="B15" t="s">
        <v>25</v>
      </c>
      <c r="C15" s="21">
        <v>2</v>
      </c>
      <c r="D15" s="21">
        <v>2.37</v>
      </c>
      <c r="E15" s="22" t="s">
        <v>19</v>
      </c>
    </row>
    <row r="16" spans="1:9" x14ac:dyDescent="0.3">
      <c r="B16" t="s">
        <v>26</v>
      </c>
      <c r="C16" s="21">
        <v>2</v>
      </c>
      <c r="D16" s="21">
        <v>2.37</v>
      </c>
      <c r="E16" s="22" t="s">
        <v>19</v>
      </c>
    </row>
    <row r="17" spans="5:5" x14ac:dyDescent="0.3">
      <c r="E17" s="2"/>
    </row>
    <row r="18" spans="5:5" x14ac:dyDescent="0.3">
      <c r="E1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A7F8-B679-47DF-BFF3-04E395FC4A07}">
  <dimension ref="A1:K11"/>
  <sheetViews>
    <sheetView topLeftCell="A4" workbookViewId="0">
      <selection activeCell="J13" sqref="J13"/>
    </sheetView>
  </sheetViews>
  <sheetFormatPr defaultRowHeight="14.4" x14ac:dyDescent="0.3"/>
  <cols>
    <col min="3" max="3" width="9.21875" bestFit="1" customWidth="1"/>
    <col min="4" max="4" width="6.88671875" bestFit="1" customWidth="1"/>
  </cols>
  <sheetData>
    <row r="1" spans="1:11" x14ac:dyDescent="0.3">
      <c r="A1" s="6"/>
      <c r="B1" s="7"/>
      <c r="C1" s="15" t="s">
        <v>37</v>
      </c>
      <c r="D1" s="16" t="s">
        <v>38</v>
      </c>
      <c r="E1" s="16" t="s">
        <v>39</v>
      </c>
      <c r="F1" s="17" t="s">
        <v>40</v>
      </c>
    </row>
    <row r="2" spans="1:11" x14ac:dyDescent="0.3">
      <c r="A2" s="8"/>
      <c r="B2" s="9"/>
      <c r="C2" s="18" t="s">
        <v>41</v>
      </c>
      <c r="D2" s="19" t="s">
        <v>42</v>
      </c>
      <c r="E2" s="19" t="s">
        <v>12</v>
      </c>
      <c r="F2" s="20" t="s">
        <v>13</v>
      </c>
    </row>
    <row r="3" spans="1:11" x14ac:dyDescent="0.3">
      <c r="A3" s="10" t="s">
        <v>31</v>
      </c>
      <c r="B3" s="11" t="s">
        <v>32</v>
      </c>
      <c r="C3" s="23"/>
      <c r="D3" s="24"/>
      <c r="E3" s="24"/>
      <c r="F3" s="25"/>
    </row>
    <row r="4" spans="1:11" x14ac:dyDescent="0.3">
      <c r="A4" s="12"/>
      <c r="B4" s="9" t="s">
        <v>33</v>
      </c>
      <c r="C4" s="26"/>
      <c r="D4" s="27"/>
      <c r="E4" s="27"/>
      <c r="F4" s="28"/>
    </row>
    <row r="5" spans="1:11" x14ac:dyDescent="0.3">
      <c r="A5" s="12"/>
      <c r="B5" s="9" t="s">
        <v>34</v>
      </c>
      <c r="C5" s="38"/>
      <c r="D5" s="39"/>
      <c r="E5" s="39"/>
      <c r="F5" s="40"/>
    </row>
    <row r="6" spans="1:11" x14ac:dyDescent="0.3">
      <c r="A6" s="10" t="s">
        <v>35</v>
      </c>
      <c r="B6" s="11" t="s">
        <v>32</v>
      </c>
      <c r="C6" s="44"/>
      <c r="D6" s="45"/>
      <c r="E6" s="45"/>
      <c r="F6" s="46"/>
      <c r="K6">
        <f>500/9</f>
        <v>55.555555555555557</v>
      </c>
    </row>
    <row r="7" spans="1:11" x14ac:dyDescent="0.3">
      <c r="A7" s="12"/>
      <c r="B7" s="9" t="s">
        <v>33</v>
      </c>
      <c r="C7" s="29"/>
      <c r="D7" s="30"/>
      <c r="E7" s="30"/>
      <c r="F7" s="31"/>
    </row>
    <row r="8" spans="1:11" x14ac:dyDescent="0.3">
      <c r="A8" s="12"/>
      <c r="B8" s="9" t="s">
        <v>34</v>
      </c>
      <c r="C8" s="47"/>
      <c r="D8" s="48"/>
      <c r="E8" s="48"/>
      <c r="F8" s="49"/>
    </row>
    <row r="9" spans="1:11" x14ac:dyDescent="0.3">
      <c r="A9" s="10" t="s">
        <v>36</v>
      </c>
      <c r="B9" s="11" t="s">
        <v>32</v>
      </c>
      <c r="C9" s="41"/>
      <c r="D9" s="42"/>
      <c r="E9" s="42"/>
      <c r="F9" s="43"/>
    </row>
    <row r="10" spans="1:11" x14ac:dyDescent="0.3">
      <c r="A10" s="12"/>
      <c r="B10" s="9" t="s">
        <v>33</v>
      </c>
      <c r="C10" s="32"/>
      <c r="D10" s="33"/>
      <c r="E10" s="33"/>
      <c r="F10" s="34"/>
    </row>
    <row r="11" spans="1:11" x14ac:dyDescent="0.3">
      <c r="A11" s="13"/>
      <c r="B11" s="14" t="s">
        <v>34</v>
      </c>
      <c r="C11" s="35"/>
      <c r="D11" s="36"/>
      <c r="E11" s="36"/>
      <c r="F11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8BD1F-4FFD-4618-B27E-AB3915771674}">
  <dimension ref="A1:H11"/>
  <sheetViews>
    <sheetView workbookViewId="0">
      <selection activeCell="H12" sqref="H12"/>
    </sheetView>
  </sheetViews>
  <sheetFormatPr defaultRowHeight="14.4" x14ac:dyDescent="0.3"/>
  <cols>
    <col min="1" max="1" width="20.6640625" customWidth="1"/>
    <col min="7" max="7" width="8.88671875" style="50"/>
  </cols>
  <sheetData>
    <row r="1" spans="1:8" x14ac:dyDescent="0.3"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</row>
    <row r="2" spans="1:8" x14ac:dyDescent="0.3">
      <c r="A2" t="s">
        <v>43</v>
      </c>
      <c r="B2">
        <v>1.28</v>
      </c>
      <c r="C2">
        <v>2.61</v>
      </c>
      <c r="D2">
        <f t="shared" ref="D2:D10" si="0">10^(-B2)</f>
        <v>5.2480746024977244E-2</v>
      </c>
      <c r="E2">
        <f t="shared" ref="E2:E10" si="1">10^(-C2)</f>
        <v>2.4547089156850303E-3</v>
      </c>
      <c r="F2">
        <f t="shared" ref="F2:F10" si="2">E2-D2</f>
        <v>-5.0026037109292217E-2</v>
      </c>
      <c r="G2" s="50">
        <f>AVERAGE(F2:F4)</f>
        <v>-4.6457768336846478E-2</v>
      </c>
      <c r="H2">
        <v>0.90700000000000003</v>
      </c>
    </row>
    <row r="3" spans="1:8" x14ac:dyDescent="0.3">
      <c r="A3" t="s">
        <v>44</v>
      </c>
      <c r="B3">
        <v>1.32</v>
      </c>
      <c r="C3">
        <v>2.75</v>
      </c>
      <c r="D3">
        <f t="shared" si="0"/>
        <v>4.7863009232263824E-2</v>
      </c>
      <c r="E3">
        <f t="shared" si="1"/>
        <v>1.7782794100389223E-3</v>
      </c>
      <c r="F3">
        <f t="shared" si="2"/>
        <v>-4.6084729822224904E-2</v>
      </c>
    </row>
    <row r="4" spans="1:8" x14ac:dyDescent="0.3">
      <c r="A4" t="s">
        <v>45</v>
      </c>
      <c r="B4">
        <v>1.36</v>
      </c>
      <c r="C4">
        <v>3.41</v>
      </c>
      <c r="D4">
        <f t="shared" si="0"/>
        <v>4.3651583224016584E-2</v>
      </c>
      <c r="E4">
        <f t="shared" si="1"/>
        <v>3.8904514499428012E-4</v>
      </c>
      <c r="F4">
        <f t="shared" si="2"/>
        <v>-4.3262538079022306E-2</v>
      </c>
    </row>
    <row r="5" spans="1:8" x14ac:dyDescent="0.3">
      <c r="A5" t="s">
        <v>46</v>
      </c>
      <c r="B5">
        <v>1.32</v>
      </c>
      <c r="C5">
        <v>2.36</v>
      </c>
      <c r="D5">
        <f t="shared" si="0"/>
        <v>4.7863009232263824E-2</v>
      </c>
      <c r="E5">
        <f t="shared" si="1"/>
        <v>4.3651583224016566E-3</v>
      </c>
      <c r="F5">
        <f t="shared" si="2"/>
        <v>-4.3497850909862169E-2</v>
      </c>
      <c r="G5" s="50">
        <f>AVERAGE(F5:F7)</f>
        <v>-4.2222071112735314E-2</v>
      </c>
    </row>
    <row r="6" spans="1:8" x14ac:dyDescent="0.3">
      <c r="A6" t="s">
        <v>47</v>
      </c>
      <c r="B6">
        <v>1.36</v>
      </c>
      <c r="C6">
        <v>2.4</v>
      </c>
      <c r="D6">
        <f t="shared" si="0"/>
        <v>4.3651583224016584E-2</v>
      </c>
      <c r="E6">
        <f t="shared" si="1"/>
        <v>3.9810717055349717E-3</v>
      </c>
      <c r="F6">
        <f t="shared" si="2"/>
        <v>-3.967051151848161E-2</v>
      </c>
    </row>
    <row r="7" spans="1:8" x14ac:dyDescent="0.3">
      <c r="A7" t="s">
        <v>48</v>
      </c>
      <c r="B7">
        <v>1.32</v>
      </c>
      <c r="C7">
        <v>2.36</v>
      </c>
      <c r="D7">
        <f t="shared" si="0"/>
        <v>4.7863009232263824E-2</v>
      </c>
      <c r="E7">
        <f t="shared" si="1"/>
        <v>4.3651583224016566E-3</v>
      </c>
      <c r="F7">
        <f t="shared" si="2"/>
        <v>-4.3497850909862169E-2</v>
      </c>
    </row>
    <row r="8" spans="1:8" x14ac:dyDescent="0.3">
      <c r="A8" t="s">
        <v>49</v>
      </c>
      <c r="B8">
        <v>1.1100000000000001</v>
      </c>
      <c r="C8">
        <v>2.4</v>
      </c>
      <c r="D8">
        <f t="shared" si="0"/>
        <v>7.7624711662869134E-2</v>
      </c>
      <c r="E8">
        <f t="shared" si="1"/>
        <v>3.9810717055349717E-3</v>
      </c>
      <c r="F8">
        <f t="shared" si="2"/>
        <v>-7.3643639957334167E-2</v>
      </c>
      <c r="G8" s="50">
        <f>AVERAGE(F8:F10)</f>
        <v>-4.9284267797321486E-2</v>
      </c>
    </row>
    <row r="9" spans="1:8" x14ac:dyDescent="0.3">
      <c r="A9" t="s">
        <v>50</v>
      </c>
      <c r="B9">
        <v>1.36</v>
      </c>
      <c r="C9">
        <v>2.3199999999999998</v>
      </c>
      <c r="D9">
        <f t="shared" si="0"/>
        <v>4.3651583224016584E-2</v>
      </c>
      <c r="E9">
        <f t="shared" si="1"/>
        <v>4.7863009232263836E-3</v>
      </c>
      <c r="F9">
        <f t="shared" si="2"/>
        <v>-3.8865282300790199E-2</v>
      </c>
    </row>
    <row r="10" spans="1:8" x14ac:dyDescent="0.3">
      <c r="A10" t="s">
        <v>51</v>
      </c>
      <c r="B10">
        <v>1.4</v>
      </c>
      <c r="C10">
        <v>2.35</v>
      </c>
      <c r="D10">
        <f t="shared" si="0"/>
        <v>3.9810717055349727E-2</v>
      </c>
      <c r="E10">
        <f t="shared" si="1"/>
        <v>4.4668359215096279E-3</v>
      </c>
      <c r="F10">
        <f t="shared" si="2"/>
        <v>-3.5343881133840099E-2</v>
      </c>
    </row>
    <row r="11" spans="1:8" x14ac:dyDescent="0.3">
      <c r="H11">
        <f>AVERAGE(B2:B10)</f>
        <v>1.3144444444444445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8D47-CB0D-4CC7-889D-D3172F5695C6}">
  <dimension ref="A1:H11"/>
  <sheetViews>
    <sheetView workbookViewId="0">
      <selection activeCell="H12" sqref="H12"/>
    </sheetView>
  </sheetViews>
  <sheetFormatPr defaultRowHeight="14.4" x14ac:dyDescent="0.3"/>
  <sheetData>
    <row r="1" spans="1:8" x14ac:dyDescent="0.3"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</row>
    <row r="2" spans="1:8" x14ac:dyDescent="0.3">
      <c r="A2" t="s">
        <v>43</v>
      </c>
      <c r="B2">
        <v>2.37</v>
      </c>
      <c r="C2">
        <v>6.54</v>
      </c>
      <c r="D2">
        <f t="shared" ref="D2:D10" si="0">10^(-B2)</f>
        <v>4.2657951880159251E-3</v>
      </c>
      <c r="E2">
        <f t="shared" ref="E2:E10" si="1">10^(-C2)</f>
        <v>2.8840315031266014E-7</v>
      </c>
      <c r="F2">
        <f t="shared" ref="F2:F10" si="2">E2-D2</f>
        <v>-4.2655067848656122E-3</v>
      </c>
      <c r="G2" s="50">
        <f>AVERAGE(F2:F4)</f>
        <v>-3.4839460362788462E-3</v>
      </c>
      <c r="H2">
        <v>2.2890000000000001</v>
      </c>
    </row>
    <row r="3" spans="1:8" x14ac:dyDescent="0.3">
      <c r="A3" t="s">
        <v>44</v>
      </c>
      <c r="B3">
        <v>2.5299999999999998</v>
      </c>
      <c r="C3">
        <v>6.46</v>
      </c>
      <c r="D3">
        <f t="shared" si="0"/>
        <v>2.9512092266663864E-3</v>
      </c>
      <c r="E3">
        <f t="shared" si="1"/>
        <v>3.4673685045253148E-7</v>
      </c>
      <c r="F3">
        <f t="shared" si="2"/>
        <v>-2.9508624898159337E-3</v>
      </c>
      <c r="G3" s="50"/>
    </row>
    <row r="4" spans="1:8" x14ac:dyDescent="0.3">
      <c r="A4" t="s">
        <v>45</v>
      </c>
      <c r="B4">
        <v>2.4900000000000002</v>
      </c>
      <c r="C4">
        <v>6.33</v>
      </c>
      <c r="D4">
        <f t="shared" si="0"/>
        <v>3.2359365692962794E-3</v>
      </c>
      <c r="E4">
        <f t="shared" si="1"/>
        <v>4.6773514128719735E-7</v>
      </c>
      <c r="F4">
        <f t="shared" si="2"/>
        <v>-3.2354688341549921E-3</v>
      </c>
      <c r="G4" s="50"/>
    </row>
    <row r="5" spans="1:8" x14ac:dyDescent="0.3">
      <c r="A5" t="s">
        <v>46</v>
      </c>
      <c r="B5">
        <v>2.4500000000000002</v>
      </c>
      <c r="C5">
        <v>6.25</v>
      </c>
      <c r="D5">
        <f t="shared" si="0"/>
        <v>3.5481338923357528E-3</v>
      </c>
      <c r="E5">
        <f t="shared" si="1"/>
        <v>5.6234132519034872E-7</v>
      </c>
      <c r="F5">
        <f t="shared" si="2"/>
        <v>-3.5475715510105625E-3</v>
      </c>
      <c r="G5" s="50">
        <f>AVERAGE(F5:F7)</f>
        <v>-3.4434057134730828E-3</v>
      </c>
    </row>
    <row r="6" spans="1:8" x14ac:dyDescent="0.3">
      <c r="A6" t="s">
        <v>47</v>
      </c>
      <c r="B6">
        <v>2.4500000000000002</v>
      </c>
      <c r="C6">
        <v>6.29</v>
      </c>
      <c r="D6">
        <f t="shared" si="0"/>
        <v>3.5481338923357528E-3</v>
      </c>
      <c r="E6">
        <f t="shared" si="1"/>
        <v>5.1286138399136375E-7</v>
      </c>
      <c r="F6">
        <f t="shared" si="2"/>
        <v>-3.5476210309517615E-3</v>
      </c>
      <c r="G6" s="50"/>
    </row>
    <row r="7" spans="1:8" x14ac:dyDescent="0.3">
      <c r="A7" t="s">
        <v>48</v>
      </c>
      <c r="B7">
        <v>2.4900000000000002</v>
      </c>
      <c r="C7">
        <v>6.04</v>
      </c>
      <c r="D7">
        <f t="shared" si="0"/>
        <v>3.2359365692962794E-3</v>
      </c>
      <c r="E7">
        <f t="shared" si="1"/>
        <v>9.12010839355909E-7</v>
      </c>
      <c r="F7">
        <f t="shared" si="2"/>
        <v>-3.2350245584569235E-3</v>
      </c>
      <c r="G7" s="50"/>
    </row>
    <row r="8" spans="1:8" x14ac:dyDescent="0.3">
      <c r="A8" t="s">
        <v>49</v>
      </c>
      <c r="B8">
        <v>2.3199999999999998</v>
      </c>
      <c r="C8">
        <v>6.01</v>
      </c>
      <c r="D8">
        <f t="shared" si="0"/>
        <v>4.7863009232263836E-3</v>
      </c>
      <c r="E8">
        <f t="shared" si="1"/>
        <v>9.7723722095580961E-7</v>
      </c>
      <c r="F8">
        <f t="shared" si="2"/>
        <v>-4.785323686005428E-3</v>
      </c>
      <c r="G8" s="50">
        <f>AVERAGE(F8:F10)</f>
        <v>-4.2483622364676609E-3</v>
      </c>
    </row>
    <row r="9" spans="1:8" x14ac:dyDescent="0.3">
      <c r="A9" t="s">
        <v>50</v>
      </c>
      <c r="B9">
        <v>2.4</v>
      </c>
      <c r="C9">
        <v>6.12</v>
      </c>
      <c r="D9">
        <f t="shared" si="0"/>
        <v>3.9810717055349717E-3</v>
      </c>
      <c r="E9">
        <f t="shared" si="1"/>
        <v>7.585775750291823E-7</v>
      </c>
      <c r="F9">
        <f t="shared" si="2"/>
        <v>-3.9803131279599422E-3</v>
      </c>
      <c r="G9" s="50"/>
    </row>
    <row r="10" spans="1:8" x14ac:dyDescent="0.3">
      <c r="A10" t="s">
        <v>51</v>
      </c>
      <c r="B10">
        <v>2.4</v>
      </c>
      <c r="C10">
        <v>5.79</v>
      </c>
      <c r="D10">
        <f t="shared" si="0"/>
        <v>3.9810717055349717E-3</v>
      </c>
      <c r="E10">
        <f t="shared" si="1"/>
        <v>1.6218100973589276E-6</v>
      </c>
      <c r="F10">
        <f t="shared" si="2"/>
        <v>-3.9794498954376124E-3</v>
      </c>
      <c r="G10" s="50"/>
    </row>
    <row r="11" spans="1:8" x14ac:dyDescent="0.3">
      <c r="H11">
        <f>AVERAGE(B2:B10)</f>
        <v>2.4333333333333327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C058-829C-4317-9A39-BD204D2E9EE3}">
  <dimension ref="A1:H11"/>
  <sheetViews>
    <sheetView workbookViewId="0">
      <selection activeCell="H12" sqref="H12"/>
    </sheetView>
  </sheetViews>
  <sheetFormatPr defaultRowHeight="14.4" x14ac:dyDescent="0.3"/>
  <sheetData>
    <row r="1" spans="1:8" x14ac:dyDescent="0.3"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</row>
    <row r="2" spans="1:8" x14ac:dyDescent="0.3">
      <c r="A2" t="s">
        <v>43</v>
      </c>
      <c r="B2">
        <v>2.2400000000000002</v>
      </c>
      <c r="C2">
        <v>6.12</v>
      </c>
      <c r="D2">
        <f t="shared" ref="D2:D10" si="0">10^(-B2)</f>
        <v>5.7543993733715649E-3</v>
      </c>
      <c r="E2">
        <f t="shared" ref="E2:E10" si="1">10^(-C2)</f>
        <v>7.585775750291823E-7</v>
      </c>
      <c r="F2">
        <f t="shared" ref="F2:F10" si="2">E2-D2</f>
        <v>-5.7536407957965354E-3</v>
      </c>
      <c r="G2" s="50">
        <f>AVERAGE(F2:F4)</f>
        <v>-5.4157973145259981E-3</v>
      </c>
      <c r="H2">
        <v>2.12</v>
      </c>
    </row>
    <row r="3" spans="1:8" x14ac:dyDescent="0.3">
      <c r="A3" t="s">
        <v>44</v>
      </c>
      <c r="B3">
        <v>2.2799999999999998</v>
      </c>
      <c r="C3">
        <v>6.11</v>
      </c>
      <c r="D3">
        <f t="shared" si="0"/>
        <v>5.2480746024977237E-3</v>
      </c>
      <c r="E3">
        <f t="shared" si="1"/>
        <v>7.7624711662869019E-7</v>
      </c>
      <c r="F3">
        <f t="shared" si="2"/>
        <v>-5.2472983553810953E-3</v>
      </c>
      <c r="G3" s="50"/>
    </row>
    <row r="4" spans="1:8" x14ac:dyDescent="0.3">
      <c r="A4" t="s">
        <v>45</v>
      </c>
      <c r="B4">
        <v>2.2799999999999998</v>
      </c>
      <c r="C4">
        <v>5.79</v>
      </c>
      <c r="D4">
        <f t="shared" si="0"/>
        <v>5.2480746024977237E-3</v>
      </c>
      <c r="E4">
        <f t="shared" si="1"/>
        <v>1.6218100973589276E-6</v>
      </c>
      <c r="F4">
        <f t="shared" si="2"/>
        <v>-5.2464527924003645E-3</v>
      </c>
    </row>
    <row r="5" spans="1:8" x14ac:dyDescent="0.3">
      <c r="A5" t="s">
        <v>46</v>
      </c>
      <c r="B5">
        <v>2.3199999999999998</v>
      </c>
      <c r="C5">
        <v>6.08</v>
      </c>
      <c r="D5">
        <f t="shared" si="0"/>
        <v>4.7863009232263836E-3</v>
      </c>
      <c r="E5">
        <f t="shared" si="1"/>
        <v>8.3176377110266907E-7</v>
      </c>
      <c r="F5">
        <f t="shared" si="2"/>
        <v>-4.7854691594552811E-3</v>
      </c>
      <c r="G5" s="50">
        <f>AVERAGE(F4:F6)</f>
        <v>-5.092370840950081E-3</v>
      </c>
    </row>
    <row r="6" spans="1:8" x14ac:dyDescent="0.3">
      <c r="A6" t="s">
        <v>47</v>
      </c>
      <c r="B6">
        <v>2.2799999999999998</v>
      </c>
      <c r="C6">
        <v>5.54</v>
      </c>
      <c r="D6">
        <f t="shared" si="0"/>
        <v>5.2480746024977237E-3</v>
      </c>
      <c r="E6">
        <f t="shared" si="1"/>
        <v>2.8840315031265995E-6</v>
      </c>
      <c r="F6">
        <f t="shared" si="2"/>
        <v>-5.2451905709945974E-3</v>
      </c>
      <c r="G6" s="50"/>
    </row>
    <row r="7" spans="1:8" x14ac:dyDescent="0.3">
      <c r="A7" t="s">
        <v>48</v>
      </c>
      <c r="B7">
        <v>2.2799999999999998</v>
      </c>
      <c r="C7">
        <v>4.87</v>
      </c>
      <c r="D7">
        <f t="shared" si="0"/>
        <v>5.2480746024977237E-3</v>
      </c>
      <c r="E7">
        <f t="shared" si="1"/>
        <v>1.3489628825916516E-5</v>
      </c>
      <c r="F7">
        <f t="shared" si="2"/>
        <v>-5.2345849736718068E-3</v>
      </c>
    </row>
    <row r="8" spans="1:8" x14ac:dyDescent="0.3">
      <c r="A8" t="s">
        <v>49</v>
      </c>
      <c r="B8">
        <v>2.3199999999999998</v>
      </c>
      <c r="C8">
        <v>5.58</v>
      </c>
      <c r="D8">
        <f t="shared" si="0"/>
        <v>4.7863009232263836E-3</v>
      </c>
      <c r="E8">
        <f t="shared" si="1"/>
        <v>2.630267991895377E-6</v>
      </c>
      <c r="F8">
        <f t="shared" si="2"/>
        <v>-4.7836706552344885E-3</v>
      </c>
      <c r="G8" s="50">
        <f>AVERAGE(F7:F9)</f>
        <v>-5.0875940325038945E-3</v>
      </c>
    </row>
    <row r="9" spans="1:8" x14ac:dyDescent="0.3">
      <c r="A9" t="s">
        <v>50</v>
      </c>
      <c r="B9">
        <v>2.2799999999999998</v>
      </c>
      <c r="C9">
        <v>5.45</v>
      </c>
      <c r="D9">
        <f t="shared" si="0"/>
        <v>5.2480746024977237E-3</v>
      </c>
      <c r="E9">
        <f t="shared" si="1"/>
        <v>3.5481338923357504E-6</v>
      </c>
      <c r="F9">
        <f t="shared" si="2"/>
        <v>-5.2445264686053882E-3</v>
      </c>
    </row>
    <row r="10" spans="1:8" x14ac:dyDescent="0.3">
      <c r="A10" t="s">
        <v>51</v>
      </c>
      <c r="B10">
        <v>2.2799999999999998</v>
      </c>
      <c r="C10">
        <v>5.2</v>
      </c>
      <c r="D10">
        <f t="shared" si="0"/>
        <v>5.2480746024977237E-3</v>
      </c>
      <c r="E10">
        <f t="shared" si="1"/>
        <v>6.3095734448019212E-6</v>
      </c>
      <c r="F10">
        <f t="shared" si="2"/>
        <v>-5.2417650290529222E-3</v>
      </c>
      <c r="G10" s="50"/>
    </row>
    <row r="11" spans="1:8" x14ac:dyDescent="0.3">
      <c r="H11">
        <f>AVERAGE(B2:B10)</f>
        <v>2.2844444444444445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0189-1E96-46A1-B6CC-1AC605A7B280}">
  <dimension ref="A1:H11"/>
  <sheetViews>
    <sheetView tabSelected="1" workbookViewId="0">
      <selection activeCell="H12" sqref="H12"/>
    </sheetView>
  </sheetViews>
  <sheetFormatPr defaultRowHeight="14.4" x14ac:dyDescent="0.3"/>
  <sheetData>
    <row r="1" spans="1:8" x14ac:dyDescent="0.3"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</row>
    <row r="2" spans="1:8" x14ac:dyDescent="0.3">
      <c r="A2" t="s">
        <v>43</v>
      </c>
      <c r="B2">
        <v>2.61</v>
      </c>
      <c r="C2">
        <v>6.84</v>
      </c>
      <c r="D2">
        <f t="shared" ref="D2:D10" si="0">10^(-B2)</f>
        <v>2.4547089156850303E-3</v>
      </c>
      <c r="E2">
        <f t="shared" ref="E2:E10" si="1">10^(-C2)</f>
        <v>1.4454397707459271E-7</v>
      </c>
      <c r="F2">
        <f t="shared" ref="F2:F10" si="2">E2-D2</f>
        <v>-2.4545643717079559E-3</v>
      </c>
      <c r="G2" s="50">
        <f>AVERAGE(F2:F4)</f>
        <v>-2.3105099419454978E-3</v>
      </c>
      <c r="H2">
        <v>2.37</v>
      </c>
    </row>
    <row r="3" spans="1:8" x14ac:dyDescent="0.3">
      <c r="A3" t="s">
        <v>44</v>
      </c>
      <c r="B3">
        <v>2.65</v>
      </c>
      <c r="C3">
        <v>6.67</v>
      </c>
      <c r="D3">
        <f t="shared" si="0"/>
        <v>2.2387211385683386E-3</v>
      </c>
      <c r="E3">
        <f t="shared" si="1"/>
        <v>2.1379620895022279E-7</v>
      </c>
      <c r="F3">
        <f t="shared" si="2"/>
        <v>-2.2385073423593885E-3</v>
      </c>
      <c r="G3" s="50"/>
    </row>
    <row r="4" spans="1:8" x14ac:dyDescent="0.3">
      <c r="A4" t="s">
        <v>45</v>
      </c>
      <c r="B4">
        <v>2.65</v>
      </c>
      <c r="C4">
        <v>6.58</v>
      </c>
      <c r="D4">
        <f t="shared" si="0"/>
        <v>2.2387211385683386E-3</v>
      </c>
      <c r="E4">
        <f t="shared" si="1"/>
        <v>2.6302679918953789E-7</v>
      </c>
      <c r="F4">
        <f t="shared" si="2"/>
        <v>-2.2384581117691491E-3</v>
      </c>
      <c r="G4" s="50"/>
    </row>
    <row r="5" spans="1:8" x14ac:dyDescent="0.3">
      <c r="A5" t="s">
        <v>46</v>
      </c>
      <c r="B5">
        <v>2.61</v>
      </c>
      <c r="C5">
        <v>6.78</v>
      </c>
      <c r="D5">
        <f t="shared" si="0"/>
        <v>2.4547089156850303E-3</v>
      </c>
      <c r="E5">
        <f t="shared" si="1"/>
        <v>1.6595869074375559E-7</v>
      </c>
      <c r="F5">
        <f t="shared" si="2"/>
        <v>-2.4545429569942864E-3</v>
      </c>
      <c r="G5" s="50">
        <f>AVERAGE(F5:F7)</f>
        <v>-2.3278306423024833E-3</v>
      </c>
    </row>
    <row r="6" spans="1:8" x14ac:dyDescent="0.3">
      <c r="A6" t="s">
        <v>47</v>
      </c>
      <c r="B6">
        <v>2.65</v>
      </c>
      <c r="C6">
        <v>6.5</v>
      </c>
      <c r="D6">
        <f t="shared" si="0"/>
        <v>2.2387211385683386E-3</v>
      </c>
      <c r="E6">
        <f t="shared" si="1"/>
        <v>3.1622776601683734E-7</v>
      </c>
      <c r="F6">
        <f t="shared" si="2"/>
        <v>-2.2384049108023218E-3</v>
      </c>
      <c r="G6" s="50"/>
    </row>
    <row r="7" spans="1:8" x14ac:dyDescent="0.3">
      <c r="A7" t="s">
        <v>48</v>
      </c>
      <c r="B7">
        <v>2.64</v>
      </c>
      <c r="C7">
        <v>6.49</v>
      </c>
      <c r="D7">
        <f t="shared" si="0"/>
        <v>2.2908676527677715E-3</v>
      </c>
      <c r="E7">
        <f t="shared" si="1"/>
        <v>3.2359365692962763E-7</v>
      </c>
      <c r="F7">
        <f t="shared" si="2"/>
        <v>-2.2905440591108419E-3</v>
      </c>
      <c r="G7" s="50"/>
    </row>
    <row r="8" spans="1:8" x14ac:dyDescent="0.3">
      <c r="A8" t="s">
        <v>49</v>
      </c>
      <c r="B8">
        <v>2.61</v>
      </c>
      <c r="C8">
        <v>6.75</v>
      </c>
      <c r="D8">
        <f t="shared" si="0"/>
        <v>2.4547089156850303E-3</v>
      </c>
      <c r="E8">
        <f t="shared" si="1"/>
        <v>1.7782794100389206E-7</v>
      </c>
      <c r="F8">
        <f t="shared" si="2"/>
        <v>-2.4545310877440263E-3</v>
      </c>
      <c r="G8" s="50">
        <f>AVERAGE(F8:F10)</f>
        <v>-2.3103596834068716E-3</v>
      </c>
    </row>
    <row r="9" spans="1:8" x14ac:dyDescent="0.3">
      <c r="A9" t="s">
        <v>50</v>
      </c>
      <c r="B9">
        <v>2.65</v>
      </c>
      <c r="C9">
        <v>6.37</v>
      </c>
      <c r="D9">
        <f t="shared" si="0"/>
        <v>2.2387211385683386E-3</v>
      </c>
      <c r="E9">
        <f t="shared" si="1"/>
        <v>4.2657951880159212E-7</v>
      </c>
      <c r="F9">
        <f t="shared" si="2"/>
        <v>-2.2382945590495372E-3</v>
      </c>
      <c r="G9" s="50"/>
    </row>
    <row r="10" spans="1:8" x14ac:dyDescent="0.3">
      <c r="A10" t="s">
        <v>51</v>
      </c>
      <c r="B10">
        <v>2.65</v>
      </c>
      <c r="C10">
        <v>6.33</v>
      </c>
      <c r="D10">
        <f t="shared" si="0"/>
        <v>2.2387211385683386E-3</v>
      </c>
      <c r="E10">
        <f t="shared" si="1"/>
        <v>4.6773514128719735E-7</v>
      </c>
      <c r="F10">
        <f t="shared" si="2"/>
        <v>-2.2382534034270513E-3</v>
      </c>
      <c r="G10" s="50"/>
    </row>
    <row r="11" spans="1:8" x14ac:dyDescent="0.3">
      <c r="H11">
        <f>AVERAGE(B2:B10)</f>
        <v>2.6355555555555554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Sample_overview</vt:lpstr>
      <vt:lpstr>Visualisation_tests</vt:lpstr>
      <vt:lpstr>LG_lake</vt:lpstr>
      <vt:lpstr>LG_spring</vt:lpstr>
      <vt:lpstr>S3</vt:lpstr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Fionnah Kerr</dc:creator>
  <cp:lastModifiedBy>Fionnah Kerr</cp:lastModifiedBy>
  <dcterms:created xsi:type="dcterms:W3CDTF">2015-06-05T18:17:20Z</dcterms:created>
  <dcterms:modified xsi:type="dcterms:W3CDTF">2026-06-23T12:24:54Z</dcterms:modified>
</cp:coreProperties>
</file>